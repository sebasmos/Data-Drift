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nazer/Documents/GitHub/Data-Drift/"/>
    </mc:Choice>
  </mc:AlternateContent>
  <xr:revisionPtr revIDLastSave="0" documentId="13_ncr:1_{6B91FFA2-E4D5-2340-A892-82786FB7371D}" xr6:coauthVersionLast="47" xr6:coauthVersionMax="47" xr10:uidLastSave="{00000000-0000-0000-0000-000000000000}"/>
  <bookViews>
    <workbookView xWindow="2780" yWindow="1500" windowWidth="28040" windowHeight="17440" activeTab="4" xr2:uid="{9C2D0C63-5A91-7C42-9392-6A721C38A013}"/>
  </bookViews>
  <sheets>
    <sheet name="Sheet1" sheetId="1" r:id="rId1"/>
    <sheet name="Sheet7" sheetId="7" r:id="rId2"/>
    <sheet name="Sheet3" sheetId="3" r:id="rId3"/>
    <sheet name="Sheet8" sheetId="8" r:id="rId4"/>
    <sheet name="Sheet4" sheetId="4" r:id="rId5"/>
    <sheet name="Sheet9" sheetId="9" r:id="rId6"/>
    <sheet name="Sheet6" sheetId="6" r:id="rId7"/>
  </sheets>
  <definedNames>
    <definedName name="_xlchart.v1.0" hidden="1">Sheet3!$B$43:$B$47</definedName>
    <definedName name="_xlchart.v1.1" hidden="1">Sheet3!$D$43:$D$47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9" l="1"/>
  <c r="D15" i="9"/>
  <c r="D16" i="9"/>
  <c r="D17" i="9"/>
  <c r="D18" i="9"/>
  <c r="D19" i="9"/>
  <c r="D20" i="9"/>
  <c r="D13" i="9"/>
  <c r="C14" i="9"/>
  <c r="C15" i="9"/>
  <c r="C16" i="9"/>
  <c r="C17" i="9"/>
  <c r="C18" i="9"/>
  <c r="C19" i="9"/>
  <c r="C20" i="9"/>
  <c r="C13" i="9"/>
  <c r="B14" i="9"/>
  <c r="B15" i="9"/>
  <c r="B16" i="9"/>
  <c r="B17" i="9"/>
  <c r="B18" i="9"/>
  <c r="B19" i="9"/>
  <c r="B20" i="9"/>
  <c r="B13" i="9"/>
  <c r="H3" i="9"/>
  <c r="H4" i="9"/>
  <c r="H5" i="9"/>
  <c r="H6" i="9"/>
  <c r="H7" i="9"/>
  <c r="H8" i="9"/>
  <c r="H9" i="9"/>
  <c r="H2" i="9"/>
  <c r="F3" i="9"/>
  <c r="F4" i="9"/>
  <c r="F5" i="9"/>
  <c r="F6" i="9"/>
  <c r="F7" i="9"/>
  <c r="F8" i="9"/>
  <c r="F9" i="9"/>
  <c r="F2" i="9"/>
  <c r="D44" i="3"/>
  <c r="D45" i="3"/>
  <c r="D46" i="3"/>
  <c r="D47" i="3"/>
  <c r="D43" i="3"/>
  <c r="D3" i="9"/>
  <c r="D4" i="9"/>
  <c r="D5" i="9"/>
  <c r="D6" i="9"/>
  <c r="D7" i="9"/>
  <c r="D8" i="9"/>
  <c r="D9" i="9"/>
  <c r="D2" i="9"/>
  <c r="D15" i="4"/>
  <c r="D29" i="3"/>
  <c r="D32" i="3"/>
  <c r="D28" i="3"/>
  <c r="C29" i="3"/>
  <c r="C33" i="3" s="1"/>
  <c r="D33" i="3" s="1"/>
  <c r="C30" i="3"/>
  <c r="D30" i="3" s="1"/>
  <c r="C31" i="3"/>
  <c r="D31" i="3" s="1"/>
  <c r="C32" i="3"/>
  <c r="C28" i="3"/>
  <c r="C21" i="3"/>
  <c r="C22" i="3"/>
  <c r="D22" i="3" s="1"/>
  <c r="C23" i="3"/>
  <c r="D23" i="3" s="1"/>
  <c r="C24" i="3"/>
  <c r="D24" i="3" s="1"/>
  <c r="C20" i="3"/>
  <c r="D20" i="3" s="1"/>
  <c r="C13" i="3"/>
  <c r="D13" i="3" s="1"/>
  <c r="C14" i="3"/>
  <c r="D14" i="3" s="1"/>
  <c r="C15" i="3"/>
  <c r="D15" i="3" s="1"/>
  <c r="C16" i="3"/>
  <c r="D16" i="3" s="1"/>
  <c r="C12" i="3"/>
  <c r="D12" i="3" s="1"/>
  <c r="C25" i="3" l="1"/>
  <c r="D25" i="3" s="1"/>
  <c r="D21" i="3"/>
  <c r="C17" i="3"/>
  <c r="D17" i="3" s="1"/>
</calcChain>
</file>

<file path=xl/sharedStrings.xml><?xml version="1.0" encoding="utf-8"?>
<sst xmlns="http://schemas.openxmlformats.org/spreadsheetml/2006/main" count="125" uniqueCount="60">
  <si>
    <t>Gender</t>
  </si>
  <si>
    <t>Female</t>
  </si>
  <si>
    <t>Male</t>
  </si>
  <si>
    <t>Neurologic</t>
  </si>
  <si>
    <t>Cardiovascular</t>
  </si>
  <si>
    <t>Respiratory</t>
  </si>
  <si>
    <t>Gastrointestinal</t>
  </si>
  <si>
    <t>other</t>
  </si>
  <si>
    <t>renal_GU</t>
  </si>
  <si>
    <t>chest_breast</t>
  </si>
  <si>
    <t>lung_pulmonary</t>
  </si>
  <si>
    <t>mss_skin</t>
  </si>
  <si>
    <t>head_neck</t>
  </si>
  <si>
    <t>GI</t>
  </si>
  <si>
    <t>CNS</t>
  </si>
  <si>
    <t>Endocrine</t>
  </si>
  <si>
    <t xml:space="preserve">CVA, cerebrovascular accident/stroke  </t>
  </si>
  <si>
    <t xml:space="preserve">Bleeding, upper GI </t>
  </si>
  <si>
    <t xml:space="preserve">Metabolic/Endocrine   </t>
  </si>
  <si>
    <t xml:space="preserve">Sepsis, pulmonary   </t>
  </si>
  <si>
    <t xml:space="preserve">Hemorrhage/hematoma, intracranial   </t>
  </si>
  <si>
    <t>Other</t>
  </si>
  <si>
    <t>Total</t>
  </si>
  <si>
    <t>Died</t>
  </si>
  <si>
    <t>Sepsis, pulmonary</t>
  </si>
  <si>
    <t>Hemorrhage/hematoma, intracranial</t>
  </si>
  <si>
    <t>Sepsis, unknown</t>
  </si>
  <si>
    <t>Sepsis, GI</t>
  </si>
  <si>
    <t>Alive</t>
  </si>
  <si>
    <t>CVA, cerebrovascular accident/stroke</t>
  </si>
  <si>
    <t>Bleeding, upper GI</t>
  </si>
  <si>
    <t xml:space="preserve">Bleeding, lower GI   </t>
  </si>
  <si>
    <t>Expired</t>
  </si>
  <si>
    <t>Admission Diagnosis</t>
  </si>
  <si>
    <t>Cancer Type</t>
  </si>
  <si>
    <t xml:space="preserve">Alive </t>
  </si>
  <si>
    <t>Test</t>
  </si>
  <si>
    <t>Ventilation</t>
  </si>
  <si>
    <t>vasopressor</t>
  </si>
  <si>
    <t>Dialysis</t>
  </si>
  <si>
    <t>Hematologic</t>
  </si>
  <si>
    <t>Solid</t>
  </si>
  <si>
    <t>metastasic</t>
  </si>
  <si>
    <t>Seps</t>
  </si>
  <si>
    <t>Genitourinary</t>
  </si>
  <si>
    <t>Lung/Pulmonary</t>
  </si>
  <si>
    <t>Breast</t>
  </si>
  <si>
    <t>Head/Neck</t>
  </si>
  <si>
    <t>Skin/MSS</t>
  </si>
  <si>
    <t>Soild</t>
  </si>
  <si>
    <t>Metastatic</t>
  </si>
  <si>
    <t>Sepsis</t>
  </si>
  <si>
    <t>Vasopressor</t>
  </si>
  <si>
    <t>GI bleeding</t>
  </si>
  <si>
    <t>Embolus, pulmonary</t>
  </si>
  <si>
    <t>Hemorrhage/hematoma</t>
  </si>
  <si>
    <t>mortality</t>
  </si>
  <si>
    <t>Length of Stay</t>
  </si>
  <si>
    <t>ICU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</si>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</sst>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3"/>
      <color theme="1"/>
      <name val="Helvetica"/>
      <family val="2"/>
    </font>
    <font>
      <sz val="13"/>
      <color theme="1"/>
      <name val="Var(--jp-code-font-family)"/>
    </font>
    <font>
      <b/>
      <sz val="13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E70"/>
      <color rgb="FFD06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28-E849-A66C-B2A0E09F7C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28-E849-A66C-B2A0E09F7C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19919</c:v>
                </c:pt>
                <c:pt idx="1">
                  <c:v>23171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8-E849-A66C-B2A0E09F7C7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Sheet7!$A$1:$A$3</c:f>
              <c:strCache>
                <c:ptCount val="3"/>
                <c:pt idx="0">
                  <c:v>metastasic</c:v>
                </c:pt>
                <c:pt idx="1">
                  <c:v>Hematologic</c:v>
                </c:pt>
                <c:pt idx="2">
                  <c:v>Solid</c:v>
                </c:pt>
              </c:strCache>
            </c:strRef>
          </c:cat>
          <c:val>
            <c:numRef>
              <c:f>Sheet7!$B$1:$B$3</c:f>
              <c:numCache>
                <c:formatCode>General</c:formatCode>
                <c:ptCount val="3"/>
                <c:pt idx="0">
                  <c:v>3648</c:v>
                </c:pt>
                <c:pt idx="1">
                  <c:v>11456</c:v>
                </c:pt>
                <c:pt idx="2">
                  <c:v>32144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F-A64D-907B-8C3B4B35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881776"/>
        <c:axId val="2089974656"/>
      </c:barChart>
      <c:catAx>
        <c:axId val="196888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74656"/>
        <c:crosses val="autoZero"/>
        <c:auto val="1"/>
        <c:lblAlgn val="ctr"/>
        <c:lblOffset val="100"/>
        <c:noMultiLvlLbl val="0"/>
      </c:catAx>
      <c:valAx>
        <c:axId val="208997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8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 Diagnosis Among Cancer</a:t>
            </a:r>
            <a:r>
              <a:rPr lang="en-US" baseline="0"/>
              <a:t> Patients in the ICU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89-CB4E-ABCB-8B21BBE4C895}"/>
              </c:ext>
            </c:extLst>
          </c:dPt>
          <c:cat>
            <c:strRef>
              <c:f>Sheet3!$A$12:$A$17</c:f>
              <c:strCache>
                <c:ptCount val="6"/>
                <c:pt idx="0">
                  <c:v>CVA, cerebrovascular accident/stroke  </c:v>
                </c:pt>
                <c:pt idx="1">
                  <c:v>Bleeding, upper GI </c:v>
                </c:pt>
                <c:pt idx="2">
                  <c:v>Metabolic/Endocrine   </c:v>
                </c:pt>
                <c:pt idx="3">
                  <c:v>Sepsis, pulmonary   </c:v>
                </c:pt>
                <c:pt idx="4">
                  <c:v>Hemorrhage/hematoma, intracranial   </c:v>
                </c:pt>
                <c:pt idx="5">
                  <c:v>Other</c:v>
                </c:pt>
              </c:strCache>
            </c:strRef>
          </c:cat>
          <c:val>
            <c:numRef>
              <c:f>Sheet3!$D$12:$D$17</c:f>
              <c:numCache>
                <c:formatCode>General</c:formatCode>
                <c:ptCount val="6"/>
                <c:pt idx="0">
                  <c:v>11.677494199535964</c:v>
                </c:pt>
                <c:pt idx="1">
                  <c:v>5.5452436194895594</c:v>
                </c:pt>
                <c:pt idx="2">
                  <c:v>5.3085846867749424</c:v>
                </c:pt>
                <c:pt idx="3">
                  <c:v>4.48723897911833</c:v>
                </c:pt>
                <c:pt idx="4">
                  <c:v>3.6983758700696057</c:v>
                </c:pt>
                <c:pt idx="5">
                  <c:v>69.283062645011611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9-CB4E-ABCB-8B21BBE4C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 Diagnosis - Expired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B5-D744-B47F-3BF487900136}"/>
              </c:ext>
            </c:extLst>
          </c:dPt>
          <c:cat>
            <c:strRef>
              <c:f>Sheet3!$A$20:$A$25</c:f>
              <c:strCache>
                <c:ptCount val="6"/>
                <c:pt idx="0">
                  <c:v>Sepsis, pulmonary</c:v>
                </c:pt>
                <c:pt idx="1">
                  <c:v>CVA, cerebrovascular accident/stroke  </c:v>
                </c:pt>
                <c:pt idx="2">
                  <c:v>Hemorrhage/hematoma, intracranial</c:v>
                </c:pt>
                <c:pt idx="3">
                  <c:v>Sepsis, unknown</c:v>
                </c:pt>
                <c:pt idx="4">
                  <c:v>Sepsis, GI</c:v>
                </c:pt>
                <c:pt idx="5">
                  <c:v>Other</c:v>
                </c:pt>
              </c:strCache>
            </c:strRef>
          </c:cat>
          <c:val>
            <c:numRef>
              <c:f>Sheet3!$D$20:$D$25</c:f>
              <c:numCache>
                <c:formatCode>General</c:formatCode>
                <c:ptCount val="6"/>
                <c:pt idx="0">
                  <c:v>9.1745934335685799</c:v>
                </c:pt>
                <c:pt idx="1">
                  <c:v>7.9472230745627499</c:v>
                </c:pt>
                <c:pt idx="2">
                  <c:v>6.7812212335072104</c:v>
                </c:pt>
                <c:pt idx="3">
                  <c:v>3.7741638539429272</c:v>
                </c:pt>
                <c:pt idx="4">
                  <c:v>3.1911629334151579</c:v>
                </c:pt>
                <c:pt idx="5">
                  <c:v>69.131635471003378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5-D744-B47F-3BF487900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B3-C646-B885-1FB8663802E1}"/>
              </c:ext>
            </c:extLst>
          </c:dPt>
          <c:cat>
            <c:strRef>
              <c:f>Sheet3!$A$28:$A$33</c:f>
              <c:strCache>
                <c:ptCount val="6"/>
                <c:pt idx="0">
                  <c:v>CVA, cerebrovascular accident/stroke</c:v>
                </c:pt>
                <c:pt idx="1">
                  <c:v>Bleeding, upper GI</c:v>
                </c:pt>
                <c:pt idx="2">
                  <c:v>Metabolic/Endocrine   </c:v>
                </c:pt>
                <c:pt idx="3">
                  <c:v>Bleeding, lower GI   </c:v>
                </c:pt>
                <c:pt idx="4">
                  <c:v>Sepsis, pulmonary   </c:v>
                </c:pt>
                <c:pt idx="5">
                  <c:v>other</c:v>
                </c:pt>
              </c:strCache>
            </c:strRef>
          </c:cat>
          <c:val>
            <c:numRef>
              <c:f>Sheet3!$D$28:$D$33</c:f>
              <c:numCache>
                <c:formatCode>General</c:formatCode>
                <c:ptCount val="6"/>
                <c:pt idx="0">
                  <c:v>11.98263095805828</c:v>
                </c:pt>
                <c:pt idx="1">
                  <c:v>5.7729474661780582</c:v>
                </c:pt>
                <c:pt idx="2">
                  <c:v>5.6424286538992492</c:v>
                </c:pt>
                <c:pt idx="3">
                  <c:v>4.3523003940664138</c:v>
                </c:pt>
                <c:pt idx="4">
                  <c:v>4.1038126553048366</c:v>
                </c:pt>
                <c:pt idx="5">
                  <c:v>68.145879872493154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3-C646-B885-1FB866380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Most Common Admission Diagnosis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Sheet3!$B$43:$B$47</c:f>
              <c:strCache>
                <c:ptCount val="5"/>
                <c:pt idx="0">
                  <c:v>GI bleeding</c:v>
                </c:pt>
                <c:pt idx="1">
                  <c:v>Sepsis</c:v>
                </c:pt>
                <c:pt idx="2">
                  <c:v>CVA, cerebrovascular accident/stroke</c:v>
                </c:pt>
                <c:pt idx="3">
                  <c:v>Hemorrhage/hematoma</c:v>
                </c:pt>
                <c:pt idx="4">
                  <c:v>Embolus, pulmonary</c:v>
                </c:pt>
              </c:strCache>
            </c:strRef>
          </c:cat>
          <c:val>
            <c:numRef>
              <c:f>Sheet3!$E$43:$E$47</c:f>
              <c:numCache>
                <c:formatCode>General</c:formatCode>
                <c:ptCount val="5"/>
                <c:pt idx="0">
                  <c:v>13</c:v>
                </c:pt>
                <c:pt idx="1">
                  <c:v>12.7</c:v>
                </c:pt>
                <c:pt idx="2">
                  <c:v>11.7</c:v>
                </c:pt>
                <c:pt idx="3">
                  <c:v>6</c:v>
                </c:pt>
                <c:pt idx="4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4-F84C-97D6-BB43F22B0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49935"/>
        <c:axId val="1968906656"/>
      </c:barChart>
      <c:catAx>
        <c:axId val="12234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906656"/>
        <c:crosses val="autoZero"/>
        <c:auto val="1"/>
        <c:lblAlgn val="ctr"/>
        <c:lblOffset val="100"/>
        <c:noMultiLvlLbl val="0"/>
      </c:catAx>
      <c:valAx>
        <c:axId val="19689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993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Cancer</a:t>
            </a:r>
            <a:r>
              <a:rPr lang="en-US" baseline="0"/>
              <a:t> Profile of Cancer Patients Admitted to the ICU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Sheet4!$B$14</c:f>
              <c:strCache>
                <c:ptCount val="1"/>
                <c:pt idx="0">
                  <c:v>Alive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Sheet4!$A$15:$A$22</c:f>
              <c:strCache>
                <c:ptCount val="8"/>
                <c:pt idx="0">
                  <c:v>GI</c:v>
                </c:pt>
                <c:pt idx="1">
                  <c:v>renal_GU</c:v>
                </c:pt>
                <c:pt idx="2">
                  <c:v>lung_pulmonary</c:v>
                </c:pt>
                <c:pt idx="3">
                  <c:v>Endocrine</c:v>
                </c:pt>
                <c:pt idx="4">
                  <c:v>CNS</c:v>
                </c:pt>
                <c:pt idx="5">
                  <c:v>chest_breast</c:v>
                </c:pt>
                <c:pt idx="6">
                  <c:v>head_neck</c:v>
                </c:pt>
                <c:pt idx="7">
                  <c:v>mss_skin</c:v>
                </c:pt>
              </c:strCache>
            </c:strRef>
          </c:cat>
          <c:val>
            <c:numRef>
              <c:f>Sheet4!$B$15:$B$22</c:f>
              <c:numCache>
                <c:formatCode>General</c:formatCode>
                <c:ptCount val="8"/>
                <c:pt idx="0">
                  <c:v>20518</c:v>
                </c:pt>
                <c:pt idx="1">
                  <c:v>12115</c:v>
                </c:pt>
                <c:pt idx="2">
                  <c:v>5762</c:v>
                </c:pt>
                <c:pt idx="3">
                  <c:v>2792</c:v>
                </c:pt>
                <c:pt idx="4">
                  <c:v>2235</c:v>
                </c:pt>
                <c:pt idx="5">
                  <c:v>563</c:v>
                </c:pt>
                <c:pt idx="6">
                  <c:v>599</c:v>
                </c:pt>
                <c:pt idx="7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E-5241-AC07-FC6012D790FB}"/>
            </c:ext>
          </c:extLst>
        </c:ser>
        <c:ser>
          <c:idx val="1"/>
          <c:order val="1"/>
          <c:tx>
            <c:strRef>
              <c:f>Sheet4!$C$14</c:f>
              <c:strCache>
                <c:ptCount val="1"/>
                <c:pt idx="0">
                  <c:v>Expired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Sheet4!$A$15:$A$22</c:f>
              <c:strCache>
                <c:ptCount val="8"/>
                <c:pt idx="0">
                  <c:v>GI</c:v>
                </c:pt>
                <c:pt idx="1">
                  <c:v>renal_GU</c:v>
                </c:pt>
                <c:pt idx="2">
                  <c:v>lung_pulmonary</c:v>
                </c:pt>
                <c:pt idx="3">
                  <c:v>Endocrine</c:v>
                </c:pt>
                <c:pt idx="4">
                  <c:v>CNS</c:v>
                </c:pt>
                <c:pt idx="5">
                  <c:v>chest_breast</c:v>
                </c:pt>
                <c:pt idx="6">
                  <c:v>head_neck</c:v>
                </c:pt>
                <c:pt idx="7">
                  <c:v>mss_skin</c:v>
                </c:pt>
              </c:strCache>
            </c:strRef>
          </c:cat>
          <c:val>
            <c:numRef>
              <c:f>Sheet4!$C$15:$C$22</c:f>
              <c:numCache>
                <c:formatCode>General</c:formatCode>
                <c:ptCount val="8"/>
                <c:pt idx="0">
                  <c:v>1648</c:v>
                </c:pt>
                <c:pt idx="1">
                  <c:v>1228</c:v>
                </c:pt>
                <c:pt idx="2">
                  <c:v>617</c:v>
                </c:pt>
                <c:pt idx="3">
                  <c:v>212</c:v>
                </c:pt>
                <c:pt idx="4">
                  <c:v>137</c:v>
                </c:pt>
                <c:pt idx="5">
                  <c:v>59</c:v>
                </c:pt>
                <c:pt idx="6">
                  <c:v>22</c:v>
                </c:pt>
                <c:pt idx="7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E-5241-AC07-FC6012D79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6850816"/>
        <c:axId val="2047673488"/>
      </c:barChart>
      <c:catAx>
        <c:axId val="204685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673488"/>
        <c:crosses val="autoZero"/>
        <c:auto val="1"/>
        <c:lblAlgn val="ctr"/>
        <c:lblOffset val="100"/>
        <c:noMultiLvlLbl val="0"/>
      </c:catAx>
      <c:valAx>
        <c:axId val="204767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5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Sheet4!$B$26</c:f>
              <c:strCache>
                <c:ptCount val="1"/>
                <c:pt idx="0">
                  <c:v>Soild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Sheet4!$A$27:$A$34</c:f>
              <c:strCache>
                <c:ptCount val="8"/>
                <c:pt idx="0">
                  <c:v>GI</c:v>
                </c:pt>
                <c:pt idx="1">
                  <c:v>Genitourinary</c:v>
                </c:pt>
                <c:pt idx="2">
                  <c:v>Lung/Pulmonary</c:v>
                </c:pt>
                <c:pt idx="3">
                  <c:v>Endocrine</c:v>
                </c:pt>
                <c:pt idx="4">
                  <c:v>CNS</c:v>
                </c:pt>
                <c:pt idx="5">
                  <c:v>Breast</c:v>
                </c:pt>
                <c:pt idx="6">
                  <c:v>Head/Neck</c:v>
                </c:pt>
                <c:pt idx="7">
                  <c:v>Skin/MSS</c:v>
                </c:pt>
              </c:strCache>
            </c:strRef>
          </c:cat>
          <c:val>
            <c:numRef>
              <c:f>Sheet4!$B$27:$B$34</c:f>
              <c:numCache>
                <c:formatCode>General</c:formatCode>
                <c:ptCount val="8"/>
                <c:pt idx="0">
                  <c:v>22166</c:v>
                </c:pt>
                <c:pt idx="1">
                  <c:v>13343</c:v>
                </c:pt>
                <c:pt idx="2">
                  <c:v>6379</c:v>
                </c:pt>
                <c:pt idx="3">
                  <c:v>3004</c:v>
                </c:pt>
                <c:pt idx="4">
                  <c:v>2372</c:v>
                </c:pt>
                <c:pt idx="5">
                  <c:v>622</c:v>
                </c:pt>
                <c:pt idx="6">
                  <c:v>621</c:v>
                </c:pt>
                <c:pt idx="7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F-D740-8EF4-80F452A217E4}"/>
            </c:ext>
          </c:extLst>
        </c:ser>
        <c:ser>
          <c:idx val="1"/>
          <c:order val="1"/>
          <c:tx>
            <c:strRef>
              <c:f>Sheet4!$C$26</c:f>
              <c:strCache>
                <c:ptCount val="1"/>
                <c:pt idx="0">
                  <c:v>Metastatic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Sheet4!$A$27:$A$34</c:f>
              <c:strCache>
                <c:ptCount val="8"/>
                <c:pt idx="0">
                  <c:v>GI</c:v>
                </c:pt>
                <c:pt idx="1">
                  <c:v>Genitourinary</c:v>
                </c:pt>
                <c:pt idx="2">
                  <c:v>Lung/Pulmonary</c:v>
                </c:pt>
                <c:pt idx="3">
                  <c:v>Endocrine</c:v>
                </c:pt>
                <c:pt idx="4">
                  <c:v>CNS</c:v>
                </c:pt>
                <c:pt idx="5">
                  <c:v>Breast</c:v>
                </c:pt>
                <c:pt idx="6">
                  <c:v>Head/Neck</c:v>
                </c:pt>
                <c:pt idx="7">
                  <c:v>Skin/MSS</c:v>
                </c:pt>
              </c:strCache>
            </c:strRef>
          </c:cat>
          <c:val>
            <c:numRef>
              <c:f>Sheet4!$C$27:$C$34</c:f>
              <c:numCache>
                <c:formatCode>General</c:formatCode>
                <c:ptCount val="8"/>
                <c:pt idx="0">
                  <c:v>1253</c:v>
                </c:pt>
                <c:pt idx="1">
                  <c:v>780</c:v>
                </c:pt>
                <c:pt idx="2">
                  <c:v>988</c:v>
                </c:pt>
                <c:pt idx="3">
                  <c:v>114</c:v>
                </c:pt>
                <c:pt idx="4">
                  <c:v>513</c:v>
                </c:pt>
                <c:pt idx="5">
                  <c:v>198</c:v>
                </c:pt>
                <c:pt idx="6">
                  <c:v>89</c:v>
                </c:pt>
                <c:pt idx="7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F-D740-8EF4-80F452A21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8393360"/>
        <c:axId val="1638395072"/>
      </c:barChart>
      <c:catAx>
        <c:axId val="163839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95072"/>
        <c:crosses val="autoZero"/>
        <c:auto val="1"/>
        <c:lblAlgn val="ctr"/>
        <c:lblOffset val="100"/>
        <c:noMultiLvlLbl val="0"/>
      </c:catAx>
      <c:valAx>
        <c:axId val="163839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9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Intervention for</a:t>
            </a:r>
            <a:r>
              <a:rPr lang="en-US" baseline="0"/>
              <a:t> Malignancy Type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Sheet9!$B$12</c:f>
              <c:strCache>
                <c:ptCount val="1"/>
                <c:pt idx="0">
                  <c:v>Ventilation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Sheet9!$A$13:$A$20</c:f>
              <c:strCache>
                <c:ptCount val="8"/>
                <c:pt idx="0">
                  <c:v>GI</c:v>
                </c:pt>
                <c:pt idx="1">
                  <c:v>Genitourinary</c:v>
                </c:pt>
                <c:pt idx="2">
                  <c:v>Lung/Pulmonary</c:v>
                </c:pt>
                <c:pt idx="3">
                  <c:v>Endocrine</c:v>
                </c:pt>
                <c:pt idx="4">
                  <c:v>CNS</c:v>
                </c:pt>
                <c:pt idx="5">
                  <c:v>Breast</c:v>
                </c:pt>
                <c:pt idx="6">
                  <c:v>Head/Neck</c:v>
                </c:pt>
                <c:pt idx="7">
                  <c:v>Skin/MSS</c:v>
                </c:pt>
              </c:strCache>
            </c:strRef>
          </c:cat>
          <c:val>
            <c:numRef>
              <c:f>Sheet9!$B$13:$B$20</c:f>
              <c:numCache>
                <c:formatCode>General</c:formatCode>
                <c:ptCount val="8"/>
                <c:pt idx="0">
                  <c:v>17.964450058648378</c:v>
                </c:pt>
                <c:pt idx="1">
                  <c:v>25.121786704639138</c:v>
                </c:pt>
                <c:pt idx="2">
                  <c:v>27.292679103307727</c:v>
                </c:pt>
                <c:pt idx="3">
                  <c:v>22.237017310252995</c:v>
                </c:pt>
                <c:pt idx="4">
                  <c:v>18.043844856661046</c:v>
                </c:pt>
                <c:pt idx="5">
                  <c:v>19.774919614147908</c:v>
                </c:pt>
                <c:pt idx="6">
                  <c:v>28.180354267310786</c:v>
                </c:pt>
                <c:pt idx="7">
                  <c:v>20.923913043478262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8-7548-9867-954AAE8DC069}"/>
            </c:ext>
          </c:extLst>
        </c:ser>
        <c:ser>
          <c:idx val="1"/>
          <c:order val="1"/>
          <c:tx>
            <c:strRef>
              <c:f>Sheet9!$C$12</c:f>
              <c:strCache>
                <c:ptCount val="1"/>
                <c:pt idx="0">
                  <c:v>Vasopressor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Sheet9!$A$13:$A$20</c:f>
              <c:strCache>
                <c:ptCount val="8"/>
                <c:pt idx="0">
                  <c:v>GI</c:v>
                </c:pt>
                <c:pt idx="1">
                  <c:v>Genitourinary</c:v>
                </c:pt>
                <c:pt idx="2">
                  <c:v>Lung/Pulmonary</c:v>
                </c:pt>
                <c:pt idx="3">
                  <c:v>Endocrine</c:v>
                </c:pt>
                <c:pt idx="4">
                  <c:v>CNS</c:v>
                </c:pt>
                <c:pt idx="5">
                  <c:v>Breast</c:v>
                </c:pt>
                <c:pt idx="6">
                  <c:v>Head/Neck</c:v>
                </c:pt>
                <c:pt idx="7">
                  <c:v>Skin/MSS</c:v>
                </c:pt>
              </c:strCache>
            </c:strRef>
          </c:cat>
          <c:val>
            <c:numRef>
              <c:f>Sheet9!$C$13:$C$20</c:f>
              <c:numCache>
                <c:formatCode>General</c:formatCode>
                <c:ptCount val="8"/>
                <c:pt idx="0">
                  <c:v>9.0679418929892641</c:v>
                </c:pt>
                <c:pt idx="1">
                  <c:v>16.173274376077345</c:v>
                </c:pt>
                <c:pt idx="2">
                  <c:v>12.901708731776139</c:v>
                </c:pt>
                <c:pt idx="3">
                  <c:v>15.878828229027963</c:v>
                </c:pt>
                <c:pt idx="4">
                  <c:v>6.7875210792580107</c:v>
                </c:pt>
                <c:pt idx="5">
                  <c:v>12.218649517684888</c:v>
                </c:pt>
                <c:pt idx="6">
                  <c:v>5.9581320450885666</c:v>
                </c:pt>
                <c:pt idx="7">
                  <c:v>13.315217391304349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48-7548-9867-954AAE8DC069}"/>
            </c:ext>
          </c:extLst>
        </c:ser>
        <c:ser>
          <c:idx val="2"/>
          <c:order val="2"/>
          <c:tx>
            <c:strRef>
              <c:f>Sheet9!$D$12</c:f>
              <c:strCache>
                <c:ptCount val="1"/>
                <c:pt idx="0">
                  <c:v>Dialysis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Sheet9!$A$13:$A$20</c:f>
              <c:strCache>
                <c:ptCount val="8"/>
                <c:pt idx="0">
                  <c:v>GI</c:v>
                </c:pt>
                <c:pt idx="1">
                  <c:v>Genitourinary</c:v>
                </c:pt>
                <c:pt idx="2">
                  <c:v>Lung/Pulmonary</c:v>
                </c:pt>
                <c:pt idx="3">
                  <c:v>Endocrine</c:v>
                </c:pt>
                <c:pt idx="4">
                  <c:v>CNS</c:v>
                </c:pt>
                <c:pt idx="5">
                  <c:v>Breast</c:v>
                </c:pt>
                <c:pt idx="6">
                  <c:v>Head/Neck</c:v>
                </c:pt>
                <c:pt idx="7">
                  <c:v>Skin/MSS</c:v>
                </c:pt>
              </c:strCache>
            </c:strRef>
          </c:cat>
          <c:val>
            <c:numRef>
              <c:f>Sheet9!$D$13:$D$20</c:f>
              <c:numCache>
                <c:formatCode>General</c:formatCode>
                <c:ptCount val="8"/>
                <c:pt idx="0">
                  <c:v>2.824145087070288</c:v>
                </c:pt>
                <c:pt idx="1">
                  <c:v>4.5492018286742111</c:v>
                </c:pt>
                <c:pt idx="2">
                  <c:v>1.9282019125254741</c:v>
                </c:pt>
                <c:pt idx="3">
                  <c:v>4.5272969374167777</c:v>
                </c:pt>
                <c:pt idx="4">
                  <c:v>1.0961214165261384</c:v>
                </c:pt>
                <c:pt idx="5">
                  <c:v>0.96463022508038598</c:v>
                </c:pt>
                <c:pt idx="6">
                  <c:v>1.932367149758454</c:v>
                </c:pt>
                <c:pt idx="7">
                  <c:v>1.0869565217391304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48-7548-9867-954AAE8DC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727680"/>
        <c:axId val="1637000560"/>
      </c:barChart>
      <c:catAx>
        <c:axId val="163772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00560"/>
        <c:crosses val="autoZero"/>
        <c:auto val="1"/>
        <c:lblAlgn val="ctr"/>
        <c:lblOffset val="100"/>
        <c:noMultiLvlLbl val="0"/>
      </c:catAx>
      <c:valAx>
        <c:axId val="163700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Sheet9!$A$23</c:f>
              <c:strCache>
                <c:ptCount val="1"/>
                <c:pt idx="0">
                  <c:v>mortality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Sheet9!$B$22:$C$22</c:f>
              <c:strCache>
                <c:ptCount val="2"/>
                <c:pt idx="0">
                  <c:v>Alive</c:v>
                </c:pt>
                <c:pt idx="1">
                  <c:v>Expired</c:v>
                </c:pt>
              </c:strCache>
            </c:strRef>
          </c:cat>
          <c:val>
            <c:numRef>
              <c:f>Sheet9!$B$23:$C$23</c:f>
              <c:numCache>
                <c:formatCode>General</c:formatCode>
                <c:ptCount val="2"/>
                <c:pt idx="0">
                  <c:v>39841</c:v>
                </c:pt>
                <c:pt idx="1">
                  <c:v>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0-4B4C-A101-0B6D971E4B7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Sheet9!$B$24</c:f>
              <c:strCache>
                <c:ptCount val="1"/>
                <c:pt idx="0">
                  <c:v>Length of Stay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Sheet9!$A$25:$A$26</c:f>
              <c:strCache>
                <c:ptCount val="2"/>
                <c:pt idx="0">
                  <c:v>ICU</c:v>
                </c:pt>
                <c:pt idx="1">
                  <c:v>Hospital</c:v>
                </c:pt>
              </c:strCache>
            </c:strRef>
          </c:cat>
          <c:val>
            <c:numRef>
              <c:f>Sheet9!$B$25:$B$26</c:f>
              <c:numCache>
                <c:formatCode>General</c:formatCode>
                <c:ptCount val="2"/>
                <c:pt idx="0">
                  <c:v>3.5</c:v>
                </c:pt>
                <c:pt idx="1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5-334D-997A-FBDF16EB12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40430992"/>
        <c:axId val="1640838800"/>
      </c:barChart>
      <c:catAx>
        <c:axId val="16404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38800"/>
        <c:crosses val="autoZero"/>
        <c:auto val="1"/>
        <c:lblAlgn val="ctr"/>
        <c:lblOffset val="100"/>
        <c:noMultiLvlLbl val="0"/>
      </c:catAx>
      <c:valAx>
        <c:axId val="1640838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043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Interventions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Sheet6!$A$2:$A$4</c:f>
              <c:strCache>
                <c:ptCount val="3"/>
                <c:pt idx="0">
                  <c:v>Ventilation</c:v>
                </c:pt>
                <c:pt idx="1">
                  <c:v>Dialysis</c:v>
                </c:pt>
                <c:pt idx="2">
                  <c:v>vasopressor</c:v>
                </c:pt>
              </c:strCache>
            </c:strRef>
          </c:cat>
          <c:val>
            <c:numRef>
              <c:f>Sheet6!$D$2:$D$4</c:f>
              <c:numCache>
                <c:formatCode>General</c:formatCode>
                <c:ptCount val="3"/>
                <c:pt idx="0">
                  <c:v>21.3</c:v>
                </c:pt>
                <c:pt idx="1">
                  <c:v>3.4</c:v>
                </c:pt>
                <c:pt idx="2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A-AC4B-A8AF-CFDC597D6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442768"/>
        <c:axId val="165754031"/>
      </c:barChart>
      <c:catAx>
        <c:axId val="2048442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Intervention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54031"/>
        <c:crosses val="autoZero"/>
        <c:auto val="1"/>
        <c:lblAlgn val="ctr"/>
        <c:lblOffset val="100"/>
        <c:noMultiLvlLbl val="0"/>
      </c:catAx>
      <c:valAx>
        <c:axId val="16575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Patients Receiving</a:t>
                </a:r>
                <a:r>
                  <a:rPr lang="en-US" baseline="0"/>
                  <a:t> Intervention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4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571501</xdr:colOff>
      <xdr:row>5</xdr:row>
      <xdr:rowOff>118532</xdr:rowOff>
    </xdr:from>
    <xdr:to>
      <xdr:col>6</xdr:col>
      <xdr:colOff>16934</xdr:colOff>
      <xdr:row>19</xdr:row>
      <xdr:rowOff>97365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864EB-E92D-3ABC-0DDA-B3105222E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0</xdr:row>
      <xdr:rowOff>25400</xdr:rowOff>
    </xdr:from>
    <xdr:to>
      <xdr:col>13</xdr:col>
      <xdr:colOff>673100</xdr:colOff>
      <xdr:row>26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3711D-47D8-7021-55D3-671857D3C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534146</xdr:colOff>
      <xdr:row>5</xdr:row>
      <xdr:rowOff>93382</xdr:rowOff>
    </xdr:from>
    <xdr:to>
      <xdr:col>10</xdr:col>
      <xdr:colOff>737721</xdr:colOff>
      <xdr:row>22</xdr:row>
      <xdr:rowOff>54909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4605B2-CBB4-33A7-5112-418710A46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566831</xdr:colOff>
      <xdr:row>24</xdr:row>
      <xdr:rowOff>150532</xdr:rowOff>
    </xdr:from>
    <xdr:to>
      <xdr:col>11</xdr:col>
      <xdr:colOff>208243</xdr:colOff>
      <xdr:row>37</xdr:row>
      <xdr:rowOff>129614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BBDA94-7DCC-45A7-1AA2-B84A234BD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249331</xdr:colOff>
      <xdr:row>24</xdr:row>
      <xdr:rowOff>38474</xdr:rowOff>
    </xdr:from>
    <xdr:to>
      <xdr:col>8</xdr:col>
      <xdr:colOff>712507</xdr:colOff>
      <xdr:row>37</xdr:row>
      <xdr:rowOff>17556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3BEAE3-5D8D-D699-19F9-55EA6BAEB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342712</xdr:colOff>
      <xdr:row>41</xdr:row>
      <xdr:rowOff>121396</xdr:rowOff>
    </xdr:from>
    <xdr:to>
      <xdr:col>10</xdr:col>
      <xdr:colOff>504264</xdr:colOff>
      <xdr:row>54</xdr:row>
      <xdr:rowOff>177427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7A3498-F6CB-2D04-9968-1D69F7644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633451</xdr:colOff>
      <xdr:row>0</xdr:row>
      <xdr:rowOff>77439</xdr:rowOff>
    </xdr:from>
    <xdr:to>
      <xdr:col>14</xdr:col>
      <xdr:colOff>635000</xdr:colOff>
      <xdr:row>20</xdr:row>
      <xdr:rowOff>8673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FC9A41-ACA5-44E5-F95C-AFE423683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323696</xdr:colOff>
      <xdr:row>19</xdr:row>
      <xdr:rowOff>154878</xdr:rowOff>
    </xdr:from>
    <xdr:to>
      <xdr:col>17</xdr:col>
      <xdr:colOff>681464</xdr:colOff>
      <xdr:row>44</xdr:row>
      <xdr:rowOff>70624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371ADC-4A51-1F0B-9ED3-AE9FF055A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177800</xdr:colOff>
      <xdr:row>2</xdr:row>
      <xdr:rowOff>114300</xdr:rowOff>
    </xdr:from>
    <xdr:to>
      <xdr:col>15</xdr:col>
      <xdr:colOff>622300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C38E35-E31B-43DF-DCF3-3C7688406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431800</xdr:colOff>
      <xdr:row>12</xdr:row>
      <xdr:rowOff>88900</xdr:rowOff>
    </xdr:from>
    <xdr:to>
      <xdr:col>9</xdr:col>
      <xdr:colOff>444500</xdr:colOff>
      <xdr:row>25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839690-0009-B8C5-2AD7-A22996C10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431800</xdr:colOff>
      <xdr:row>12</xdr:row>
      <xdr:rowOff>88900</xdr:rowOff>
    </xdr:from>
    <xdr:to>
      <xdr:col>9</xdr:col>
      <xdr:colOff>215900</xdr:colOff>
      <xdr:row>28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B218EF-6E5B-DB15-65E8-54BF844A9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8</xdr:row>
      <xdr:rowOff>165100</xdr:rowOff>
    </xdr:from>
    <xdr:to>
      <xdr:col>11</xdr:col>
      <xdr:colOff>165100</xdr:colOff>
      <xdr:row>26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97A64-1616-A05A-3BA9-F5C7ABABC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6E5E-E74C-624F-80A5-3C5C59033725}">
  <dimension ref="A1:B3"/>
  <sheetViews>
    <sheetView zoomScale="150" workbookViewId="0">
      <selection activeCell="B11" sqref="B11"/>
    </sheetView>
  </sheetViews>
  <sheetFormatPr baseColWidth="10" defaultRowHeight="16"/>
  <sheetData>
    <row r="1" spans="1:2">
      <c r="A1" t="s">
        <v>0</v>
      </c>
    </row>
    <row r="2" spans="1:2" ht="17">
      <c r="A2" t="s">
        <v>1</v>
      </c>
      <c r="B2" s="1">
        <v>19919</v>
      </c>
    </row>
    <row r="3" spans="1:2" ht="17">
      <c r="A3" t="s">
        <v>2</v>
      </c>
      <c r="B3" s="1">
        <v>23171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2261-D761-4C4D-9425-3D1F5BA64DA6}">
  <dimension ref="A1:B3"/>
  <sheetViews>
    <sheetView workbookViewId="0">
      <selection activeCell="A2" sqref="A2"/>
    </sheetView>
  </sheetViews>
  <sheetFormatPr baseColWidth="10" defaultRowHeight="16"/>
  <sheetData>
    <row r="1" spans="1:2" ht="17">
      <c r="A1" s="3" t="s">
        <v>42</v>
      </c>
      <c r="B1" s="1">
        <v>3648</v>
      </c>
    </row>
    <row r="2" spans="1:2" ht="17">
      <c r="A2" t="s">
        <v>40</v>
      </c>
      <c r="B2" s="1">
        <v>11456</v>
      </c>
    </row>
    <row r="3" spans="1:2" ht="17">
      <c r="A3" t="s">
        <v>41</v>
      </c>
      <c r="B3" s="1">
        <v>32144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360F-4460-7E45-9D5C-A6D5D5AB7B0F}">
  <dimension ref="A11:E49"/>
  <sheetViews>
    <sheetView topLeftCell="A31" zoomScale="136" workbookViewId="0">
      <selection activeCell="E47" sqref="E47"/>
    </sheetView>
  </sheetViews>
  <sheetFormatPr baseColWidth="10" defaultRowHeight="16"/>
  <sheetData>
    <row r="11" spans="1:4" ht="17">
      <c r="A11" s="3" t="s">
        <v>22</v>
      </c>
    </row>
    <row r="12" spans="1:4" ht="17">
      <c r="A12" s="2" t="s">
        <v>16</v>
      </c>
      <c r="B12">
        <v>5033</v>
      </c>
      <c r="C12">
        <f>B12/43100</f>
        <v>0.11677494199535964</v>
      </c>
      <c r="D12">
        <f>C12*100</f>
        <v>11.677494199535964</v>
      </c>
    </row>
    <row r="13" spans="1:4" ht="17">
      <c r="A13" s="2" t="s">
        <v>17</v>
      </c>
      <c r="B13">
        <v>2390</v>
      </c>
      <c r="C13">
        <f t="shared" ref="C13:C16" si="0">B13/43100</f>
        <v>5.5452436194895594E-2</v>
      </c>
      <c r="D13">
        <f t="shared" ref="D13:D17" si="1">C13*100</f>
        <v>5.5452436194895594</v>
      </c>
    </row>
    <row r="14" spans="1:4" ht="17">
      <c r="A14" s="2" t="s">
        <v>18</v>
      </c>
      <c r="B14" s="2">
        <v>2288</v>
      </c>
      <c r="C14">
        <f t="shared" si="0"/>
        <v>5.308584686774942E-2</v>
      </c>
      <c r="D14">
        <f t="shared" si="1"/>
        <v>5.3085846867749424</v>
      </c>
    </row>
    <row r="15" spans="1:4" ht="17">
      <c r="A15" s="2" t="s">
        <v>19</v>
      </c>
      <c r="B15" s="2">
        <v>1934</v>
      </c>
      <c r="C15">
        <f t="shared" si="0"/>
        <v>4.4872389791183298E-2</v>
      </c>
      <c r="D15">
        <f t="shared" si="1"/>
        <v>4.48723897911833</v>
      </c>
    </row>
    <row r="16" spans="1:4" ht="17">
      <c r="A16" s="2" t="s">
        <v>20</v>
      </c>
      <c r="B16" s="2">
        <v>1594</v>
      </c>
      <c r="C16">
        <f t="shared" si="0"/>
        <v>3.6983758700696055E-2</v>
      </c>
      <c r="D16">
        <f t="shared" si="1"/>
        <v>3.6983758700696057</v>
      </c>
    </row>
    <row r="17" spans="1:4" ht="17">
      <c r="A17" s="2" t="s">
        <v>21</v>
      </c>
      <c r="C17">
        <f>1-SUM(C12:C16)</f>
        <v>0.69283062645011606</v>
      </c>
      <c r="D17">
        <f t="shared" si="1"/>
        <v>69.283062645011611</v>
      </c>
    </row>
    <row r="19" spans="1:4" ht="17">
      <c r="A19" s="2" t="s">
        <v>23</v>
      </c>
    </row>
    <row r="20" spans="1:4" ht="17">
      <c r="A20" s="2" t="s">
        <v>24</v>
      </c>
      <c r="B20" s="2">
        <v>299</v>
      </c>
      <c r="C20">
        <f>B20/3259</f>
        <v>9.17459343356858E-2</v>
      </c>
      <c r="D20">
        <f>C20*100</f>
        <v>9.1745934335685799</v>
      </c>
    </row>
    <row r="21" spans="1:4" ht="17">
      <c r="A21" s="2" t="s">
        <v>16</v>
      </c>
      <c r="B21" s="2">
        <v>259</v>
      </c>
      <c r="C21">
        <f t="shared" ref="C21:C24" si="2">B21/3259</f>
        <v>7.9472230745627495E-2</v>
      </c>
      <c r="D21">
        <f t="shared" ref="D21:D25" si="3">C21*100</f>
        <v>7.9472230745627499</v>
      </c>
    </row>
    <row r="22" spans="1:4" ht="17">
      <c r="A22" s="2" t="s">
        <v>25</v>
      </c>
      <c r="B22" s="2">
        <v>221</v>
      </c>
      <c r="C22">
        <f t="shared" si="2"/>
        <v>6.7812212335072106E-2</v>
      </c>
      <c r="D22">
        <f t="shared" si="3"/>
        <v>6.7812212335072104</v>
      </c>
    </row>
    <row r="23" spans="1:4" ht="17">
      <c r="A23" s="2" t="s">
        <v>26</v>
      </c>
      <c r="B23" s="2">
        <v>123</v>
      </c>
      <c r="C23">
        <f t="shared" si="2"/>
        <v>3.7741638539429273E-2</v>
      </c>
      <c r="D23">
        <f t="shared" si="3"/>
        <v>3.7741638539429272</v>
      </c>
    </row>
    <row r="24" spans="1:4" ht="17">
      <c r="A24" s="2" t="s">
        <v>27</v>
      </c>
      <c r="B24" s="2">
        <v>104</v>
      </c>
      <c r="C24">
        <f t="shared" si="2"/>
        <v>3.1911629334151578E-2</v>
      </c>
      <c r="D24">
        <f t="shared" si="3"/>
        <v>3.1911629334151579</v>
      </c>
    </row>
    <row r="25" spans="1:4" ht="17">
      <c r="A25" s="2" t="s">
        <v>21</v>
      </c>
      <c r="C25">
        <f>1-SUM(C20:C24)</f>
        <v>0.69131635471003372</v>
      </c>
      <c r="D25">
        <f t="shared" si="3"/>
        <v>69.131635471003378</v>
      </c>
    </row>
    <row r="27" spans="1:4" ht="17">
      <c r="A27" s="2" t="s">
        <v>28</v>
      </c>
    </row>
    <row r="28" spans="1:4" ht="17">
      <c r="A28" s="2" t="s">
        <v>29</v>
      </c>
      <c r="B28">
        <v>4774</v>
      </c>
      <c r="C28">
        <f>B28/39841</f>
        <v>0.11982630958058281</v>
      </c>
      <c r="D28">
        <f>C28*100</f>
        <v>11.98263095805828</v>
      </c>
    </row>
    <row r="29" spans="1:4" ht="17">
      <c r="A29" s="2" t="s">
        <v>30</v>
      </c>
      <c r="B29">
        <v>2300</v>
      </c>
      <c r="C29">
        <f t="shared" ref="C29:C33" si="4">B29/39841</f>
        <v>5.7729474661780578E-2</v>
      </c>
      <c r="D29">
        <f t="shared" ref="D29:D33" si="5">C29*100</f>
        <v>5.7729474661780582</v>
      </c>
    </row>
    <row r="30" spans="1:4" ht="17">
      <c r="A30" s="2" t="s">
        <v>18</v>
      </c>
      <c r="B30" s="2">
        <v>2248</v>
      </c>
      <c r="C30">
        <f t="shared" si="4"/>
        <v>5.6424286538992494E-2</v>
      </c>
      <c r="D30">
        <f t="shared" si="5"/>
        <v>5.6424286538992492</v>
      </c>
    </row>
    <row r="31" spans="1:4" ht="17">
      <c r="A31" s="2" t="s">
        <v>31</v>
      </c>
      <c r="B31" s="2">
        <v>1734</v>
      </c>
      <c r="C31">
        <f t="shared" si="4"/>
        <v>4.3523003940664141E-2</v>
      </c>
      <c r="D31">
        <f t="shared" si="5"/>
        <v>4.3523003940664138</v>
      </c>
    </row>
    <row r="32" spans="1:4" ht="17">
      <c r="A32" s="2" t="s">
        <v>19</v>
      </c>
      <c r="B32">
        <v>1635</v>
      </c>
      <c r="C32">
        <f t="shared" si="4"/>
        <v>4.1038126553048365E-2</v>
      </c>
      <c r="D32">
        <f t="shared" si="5"/>
        <v>4.1038126553048366</v>
      </c>
    </row>
    <row r="33" spans="1:5" ht="17">
      <c r="A33" s="2" t="s">
        <v>7</v>
      </c>
      <c r="C33">
        <f>1-SUM(C28:C32)</f>
        <v>0.68145879872493154</v>
      </c>
      <c r="D33">
        <f t="shared" si="5"/>
        <v>68.145879872493154</v>
      </c>
    </row>
    <row r="36" spans="1:5" ht="17">
      <c r="A36" s="2" t="s">
        <v>33</v>
      </c>
      <c r="B36" t="s">
        <v>28</v>
      </c>
      <c r="C36" t="s">
        <v>32</v>
      </c>
    </row>
    <row r="37" spans="1:5" ht="17">
      <c r="A37">
        <v>1</v>
      </c>
      <c r="B37" s="2" t="s">
        <v>29</v>
      </c>
      <c r="C37" s="2" t="s">
        <v>24</v>
      </c>
    </row>
    <row r="38" spans="1:5" ht="17">
      <c r="A38">
        <v>2</v>
      </c>
      <c r="B38" s="2" t="s">
        <v>30</v>
      </c>
      <c r="C38" s="2" t="s">
        <v>16</v>
      </c>
    </row>
    <row r="39" spans="1:5" ht="17">
      <c r="A39">
        <v>3</v>
      </c>
      <c r="B39" s="2" t="s">
        <v>18</v>
      </c>
      <c r="C39" s="2" t="s">
        <v>25</v>
      </c>
    </row>
    <row r="40" spans="1:5" ht="17">
      <c r="A40">
        <v>4</v>
      </c>
      <c r="B40" s="2" t="s">
        <v>31</v>
      </c>
      <c r="C40" s="2" t="s">
        <v>26</v>
      </c>
    </row>
    <row r="41" spans="1:5" ht="17">
      <c r="A41">
        <v>5</v>
      </c>
      <c r="B41" s="2" t="s">
        <v>19</v>
      </c>
      <c r="C41" s="2" t="s">
        <v>27</v>
      </c>
    </row>
    <row r="43" spans="1:5" ht="17">
      <c r="B43" s="2" t="s">
        <v>53</v>
      </c>
      <c r="C43">
        <v>5608</v>
      </c>
      <c r="D43">
        <f>(C43/43100)*100</f>
        <v>13.011600928074246</v>
      </c>
      <c r="E43">
        <v>13</v>
      </c>
    </row>
    <row r="44" spans="1:5" ht="17">
      <c r="B44" s="2" t="s">
        <v>51</v>
      </c>
      <c r="C44" s="2">
        <v>5474</v>
      </c>
      <c r="D44">
        <f t="shared" ref="D44:D47" si="6">(C44/43100)*100</f>
        <v>12.700696055684455</v>
      </c>
      <c r="E44">
        <v>12.7</v>
      </c>
    </row>
    <row r="45" spans="1:5" ht="17">
      <c r="B45" s="2" t="s">
        <v>29</v>
      </c>
      <c r="C45" s="2">
        <v>5033</v>
      </c>
      <c r="D45">
        <f t="shared" si="6"/>
        <v>11.677494199535964</v>
      </c>
      <c r="E45">
        <v>11.7</v>
      </c>
    </row>
    <row r="46" spans="1:5" ht="17">
      <c r="B46" s="2" t="s">
        <v>55</v>
      </c>
      <c r="C46" s="2">
        <v>2586</v>
      </c>
      <c r="D46">
        <f>(C46/43100)*100</f>
        <v>6</v>
      </c>
      <c r="E46">
        <v>6</v>
      </c>
    </row>
    <row r="47" spans="1:5" ht="17">
      <c r="B47" s="2" t="s">
        <v>54</v>
      </c>
      <c r="C47" s="2">
        <v>1114</v>
      </c>
      <c r="D47">
        <f t="shared" si="6"/>
        <v>2.5846867749419951</v>
      </c>
      <c r="E47">
        <v>2.6</v>
      </c>
    </row>
    <row r="49" spans="4:4" ht="17">
      <c r="D49" s="2">
        <v>2586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DF9C-41FF-AE45-BAB5-35F0927C55E8}">
  <dimension ref="A1:B5"/>
  <sheetViews>
    <sheetView workbookViewId="0">
      <selection activeCell="A5" sqref="A5"/>
    </sheetView>
  </sheetViews>
  <sheetFormatPr baseColWidth="10" defaultRowHeight="16"/>
  <sheetData>
    <row r="1" spans="1:2" ht="17">
      <c r="A1" s="2" t="s">
        <v>3</v>
      </c>
      <c r="B1" s="2">
        <v>12934</v>
      </c>
    </row>
    <row r="2" spans="1:2" ht="17">
      <c r="A2" s="2" t="s">
        <v>4</v>
      </c>
      <c r="B2" s="2">
        <v>11908</v>
      </c>
    </row>
    <row r="3" spans="1:2" ht="17">
      <c r="A3" s="2" t="s">
        <v>5</v>
      </c>
      <c r="B3" s="2">
        <v>9971</v>
      </c>
    </row>
    <row r="4" spans="1:2" ht="17">
      <c r="A4" s="2" t="s">
        <v>6</v>
      </c>
      <c r="B4" s="2">
        <v>8045</v>
      </c>
    </row>
    <row r="5" spans="1:2" ht="17">
      <c r="A5" s="2" t="s">
        <v>43</v>
      </c>
      <c r="B5" s="2">
        <v>5474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0BBC-A871-1A49-B34F-749EC6D98F7B}">
  <dimension ref="A1:D34"/>
  <sheetViews>
    <sheetView tabSelected="1" zoomScale="82" workbookViewId="0">
      <selection activeCell="A33" sqref="A33"/>
    </sheetView>
  </sheetViews>
  <sheetFormatPr baseColWidth="10" defaultRowHeight="16"/>
  <sheetData>
    <row r="1" spans="1:4">
      <c r="A1" t="s">
        <v>34</v>
      </c>
      <c r="B1" t="s">
        <v>22</v>
      </c>
      <c r="C1" t="s">
        <v>32</v>
      </c>
      <c r="D1" t="s">
        <v>35</v>
      </c>
    </row>
    <row r="2" spans="1:4" ht="17">
      <c r="A2" s="3" t="s">
        <v>13</v>
      </c>
      <c r="B2" s="1">
        <v>22166</v>
      </c>
      <c r="C2">
        <v>1648</v>
      </c>
      <c r="D2" s="1">
        <v>20518</v>
      </c>
    </row>
    <row r="3" spans="1:4" ht="17">
      <c r="A3" s="3" t="s">
        <v>44</v>
      </c>
      <c r="B3" s="1">
        <v>13343</v>
      </c>
      <c r="C3" s="1">
        <v>1228</v>
      </c>
      <c r="D3" s="1">
        <v>12115</v>
      </c>
    </row>
    <row r="4" spans="1:4" ht="17">
      <c r="A4" s="3" t="s">
        <v>45</v>
      </c>
      <c r="B4" s="1">
        <v>6379</v>
      </c>
      <c r="C4" s="1">
        <v>617</v>
      </c>
      <c r="D4" s="1">
        <v>5762</v>
      </c>
    </row>
    <row r="5" spans="1:4" ht="17">
      <c r="A5" s="3" t="s">
        <v>15</v>
      </c>
      <c r="B5" s="1">
        <v>3004</v>
      </c>
      <c r="C5">
        <v>212</v>
      </c>
      <c r="D5" s="1">
        <v>2792</v>
      </c>
    </row>
    <row r="6" spans="1:4" ht="17">
      <c r="A6" s="3" t="s">
        <v>14</v>
      </c>
      <c r="B6" s="1">
        <v>2372</v>
      </c>
      <c r="C6">
        <v>137</v>
      </c>
      <c r="D6" s="1">
        <v>2235</v>
      </c>
    </row>
    <row r="7" spans="1:4" ht="17">
      <c r="A7" s="3" t="s">
        <v>46</v>
      </c>
      <c r="B7" s="1">
        <v>622</v>
      </c>
      <c r="C7">
        <v>59</v>
      </c>
      <c r="D7" s="1">
        <v>563</v>
      </c>
    </row>
    <row r="8" spans="1:4" ht="17">
      <c r="A8" s="3" t="s">
        <v>47</v>
      </c>
      <c r="B8" s="1">
        <v>621</v>
      </c>
      <c r="C8">
        <v>22</v>
      </c>
      <c r="D8" s="1">
        <v>599</v>
      </c>
    </row>
    <row r="9" spans="1:4" ht="17">
      <c r="A9" s="3" t="s">
        <v>11</v>
      </c>
      <c r="B9" s="1">
        <v>368</v>
      </c>
      <c r="C9">
        <v>39</v>
      </c>
      <c r="D9" s="1">
        <v>329</v>
      </c>
    </row>
    <row r="14" spans="1:4">
      <c r="A14" t="s">
        <v>34</v>
      </c>
      <c r="B14" t="s">
        <v>35</v>
      </c>
      <c r="C14" t="s">
        <v>32</v>
      </c>
    </row>
    <row r="15" spans="1:4" ht="17">
      <c r="A15" s="3" t="s">
        <v>13</v>
      </c>
      <c r="B15" s="1">
        <v>20518</v>
      </c>
      <c r="C15">
        <v>1648</v>
      </c>
      <c r="D15">
        <f>SUM(B15:C15)</f>
        <v>22166</v>
      </c>
    </row>
    <row r="16" spans="1:4" ht="17">
      <c r="A16" s="3" t="s">
        <v>8</v>
      </c>
      <c r="B16" s="1">
        <v>12115</v>
      </c>
      <c r="C16" s="1">
        <v>1228</v>
      </c>
    </row>
    <row r="17" spans="1:3" ht="17">
      <c r="A17" s="3" t="s">
        <v>10</v>
      </c>
      <c r="B17" s="1">
        <v>5762</v>
      </c>
      <c r="C17" s="1">
        <v>617</v>
      </c>
    </row>
    <row r="18" spans="1:3" ht="17">
      <c r="A18" s="3" t="s">
        <v>15</v>
      </c>
      <c r="B18" s="1">
        <v>2792</v>
      </c>
      <c r="C18">
        <v>212</v>
      </c>
    </row>
    <row r="19" spans="1:3" ht="17">
      <c r="A19" s="3" t="s">
        <v>14</v>
      </c>
      <c r="B19" s="1">
        <v>2235</v>
      </c>
      <c r="C19">
        <v>137</v>
      </c>
    </row>
    <row r="20" spans="1:3" ht="17">
      <c r="A20" s="3" t="s">
        <v>9</v>
      </c>
      <c r="B20" s="1">
        <v>563</v>
      </c>
      <c r="C20">
        <v>59</v>
      </c>
    </row>
    <row r="21" spans="1:3" ht="17">
      <c r="A21" s="3" t="s">
        <v>12</v>
      </c>
      <c r="B21" s="1">
        <v>599</v>
      </c>
      <c r="C21">
        <v>22</v>
      </c>
    </row>
    <row r="22" spans="1:3" ht="17">
      <c r="A22" s="3" t="s">
        <v>11</v>
      </c>
      <c r="B22" s="1">
        <v>329</v>
      </c>
      <c r="C22">
        <v>39</v>
      </c>
    </row>
    <row r="26" spans="1:3">
      <c r="A26" t="s">
        <v>34</v>
      </c>
      <c r="B26" t="s">
        <v>49</v>
      </c>
      <c r="C26" t="s">
        <v>50</v>
      </c>
    </row>
    <row r="27" spans="1:3" ht="17">
      <c r="A27" s="3" t="s">
        <v>13</v>
      </c>
      <c r="B27" s="2">
        <v>22166</v>
      </c>
      <c r="C27" s="2">
        <v>1253</v>
      </c>
    </row>
    <row r="28" spans="1:3" ht="17">
      <c r="A28" s="3" t="s">
        <v>44</v>
      </c>
      <c r="B28" s="2">
        <v>13343</v>
      </c>
      <c r="C28" s="2">
        <v>780</v>
      </c>
    </row>
    <row r="29" spans="1:3" ht="17">
      <c r="A29" s="3" t="s">
        <v>45</v>
      </c>
      <c r="B29" s="2">
        <v>6379</v>
      </c>
      <c r="C29" s="2">
        <v>988</v>
      </c>
    </row>
    <row r="30" spans="1:3" ht="17">
      <c r="A30" s="3" t="s">
        <v>15</v>
      </c>
      <c r="B30" s="2">
        <v>3004</v>
      </c>
      <c r="C30" s="2">
        <v>114</v>
      </c>
    </row>
    <row r="31" spans="1:3" ht="17">
      <c r="A31" s="3" t="s">
        <v>14</v>
      </c>
      <c r="B31" s="2">
        <v>2372</v>
      </c>
      <c r="C31" s="2">
        <v>513</v>
      </c>
    </row>
    <row r="32" spans="1:3" ht="17">
      <c r="A32" s="3" t="s">
        <v>46</v>
      </c>
      <c r="B32" s="2">
        <v>622</v>
      </c>
      <c r="C32" s="2">
        <v>198</v>
      </c>
    </row>
    <row r="33" spans="1:3" ht="17">
      <c r="A33" s="3" t="s">
        <v>47</v>
      </c>
      <c r="B33" s="2">
        <v>621</v>
      </c>
      <c r="C33" s="2">
        <v>89</v>
      </c>
    </row>
    <row r="34" spans="1:3" ht="17">
      <c r="A34" s="3" t="s">
        <v>48</v>
      </c>
      <c r="B34" s="2">
        <v>368</v>
      </c>
      <c r="C34" s="2">
        <v>141</v>
      </c>
    </row>
  </sheetData>
  <sortState xmlns:xlrd2="http://schemas.microsoft.com/office/spreadsheetml/2017/richdata2" ref="A1:B9">
    <sortCondition descending="1" ref="B1:B9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0E78-FBF2-0E4A-9E73-EB4CE6D83F42}">
  <dimension ref="A1:H26"/>
  <sheetViews>
    <sheetView workbookViewId="0">
      <selection activeCell="L22" sqref="L22"/>
    </sheetView>
  </sheetViews>
  <sheetFormatPr baseColWidth="10" defaultRowHeight="16"/>
  <sheetData>
    <row r="1" spans="1:8">
      <c r="A1" t="s">
        <v>34</v>
      </c>
      <c r="B1" t="s">
        <v>22</v>
      </c>
      <c r="C1" t="s">
        <v>52</v>
      </c>
      <c r="D1" t="s">
        <v>52</v>
      </c>
      <c r="E1" t="s">
        <v>37</v>
      </c>
      <c r="F1" t="s">
        <v>37</v>
      </c>
      <c r="G1" t="s">
        <v>39</v>
      </c>
      <c r="H1" t="s">
        <v>39</v>
      </c>
    </row>
    <row r="2" spans="1:8" ht="17">
      <c r="A2" s="3" t="s">
        <v>13</v>
      </c>
      <c r="B2" s="2">
        <v>22166</v>
      </c>
      <c r="C2" s="1">
        <v>2010</v>
      </c>
      <c r="D2">
        <f>(C2/B2)*100</f>
        <v>9.0679418929892641</v>
      </c>
      <c r="E2" s="1">
        <v>3982</v>
      </c>
      <c r="F2">
        <f>(E2/B2)*100</f>
        <v>17.964450058648378</v>
      </c>
      <c r="G2" s="1">
        <v>626</v>
      </c>
      <c r="H2">
        <f>(G2/B2)*100</f>
        <v>2.824145087070288</v>
      </c>
    </row>
    <row r="3" spans="1:8" ht="17">
      <c r="A3" s="3" t="s">
        <v>44</v>
      </c>
      <c r="B3" s="2">
        <v>13343</v>
      </c>
      <c r="C3" s="1">
        <v>2158</v>
      </c>
      <c r="D3">
        <f t="shared" ref="D3:D9" si="0">(C3/B3)*100</f>
        <v>16.173274376077345</v>
      </c>
      <c r="E3" s="1">
        <v>3352</v>
      </c>
      <c r="F3">
        <f t="shared" ref="F3:F9" si="1">(E3/B3)*100</f>
        <v>25.121786704639138</v>
      </c>
      <c r="G3" s="1">
        <v>607</v>
      </c>
      <c r="H3">
        <f t="shared" ref="H3:H9" si="2">(G3/B3)*100</f>
        <v>4.5492018286742111</v>
      </c>
    </row>
    <row r="4" spans="1:8" ht="17">
      <c r="A4" s="3" t="s">
        <v>45</v>
      </c>
      <c r="B4" s="2">
        <v>6379</v>
      </c>
      <c r="C4" s="1">
        <v>823</v>
      </c>
      <c r="D4">
        <f t="shared" si="0"/>
        <v>12.901708731776139</v>
      </c>
      <c r="E4" s="1">
        <v>1741</v>
      </c>
      <c r="F4">
        <f t="shared" si="1"/>
        <v>27.292679103307727</v>
      </c>
      <c r="G4" s="1">
        <v>123</v>
      </c>
      <c r="H4">
        <f t="shared" si="2"/>
        <v>1.9282019125254741</v>
      </c>
    </row>
    <row r="5" spans="1:8" ht="17">
      <c r="A5" s="3" t="s">
        <v>15</v>
      </c>
      <c r="B5" s="2">
        <v>3004</v>
      </c>
      <c r="C5" s="1">
        <v>477</v>
      </c>
      <c r="D5">
        <f t="shared" si="0"/>
        <v>15.878828229027963</v>
      </c>
      <c r="E5" s="1">
        <v>668</v>
      </c>
      <c r="F5">
        <f t="shared" si="1"/>
        <v>22.237017310252995</v>
      </c>
      <c r="G5" s="1">
        <v>136</v>
      </c>
      <c r="H5">
        <f t="shared" si="2"/>
        <v>4.5272969374167777</v>
      </c>
    </row>
    <row r="6" spans="1:8" ht="17">
      <c r="A6" s="3" t="s">
        <v>14</v>
      </c>
      <c r="B6" s="2">
        <v>2372</v>
      </c>
      <c r="C6" s="1">
        <v>161</v>
      </c>
      <c r="D6">
        <f t="shared" si="0"/>
        <v>6.7875210792580107</v>
      </c>
      <c r="E6" s="1">
        <v>428</v>
      </c>
      <c r="F6">
        <f t="shared" si="1"/>
        <v>18.043844856661046</v>
      </c>
      <c r="G6" s="1">
        <v>26</v>
      </c>
      <c r="H6">
        <f t="shared" si="2"/>
        <v>1.0961214165261384</v>
      </c>
    </row>
    <row r="7" spans="1:8" ht="17">
      <c r="A7" s="3" t="s">
        <v>46</v>
      </c>
      <c r="B7" s="2">
        <v>622</v>
      </c>
      <c r="C7" s="1">
        <v>76</v>
      </c>
      <c r="D7">
        <f t="shared" si="0"/>
        <v>12.218649517684888</v>
      </c>
      <c r="E7" s="1">
        <v>123</v>
      </c>
      <c r="F7">
        <f t="shared" si="1"/>
        <v>19.774919614147908</v>
      </c>
      <c r="G7">
        <v>6</v>
      </c>
      <c r="H7">
        <f t="shared" si="2"/>
        <v>0.96463022508038598</v>
      </c>
    </row>
    <row r="8" spans="1:8" ht="17">
      <c r="A8" s="3" t="s">
        <v>47</v>
      </c>
      <c r="B8" s="2">
        <v>621</v>
      </c>
      <c r="C8" s="1">
        <v>37</v>
      </c>
      <c r="D8">
        <f t="shared" si="0"/>
        <v>5.9581320450885666</v>
      </c>
      <c r="E8" s="1">
        <v>175</v>
      </c>
      <c r="F8">
        <f t="shared" si="1"/>
        <v>28.180354267310786</v>
      </c>
      <c r="G8">
        <v>12</v>
      </c>
      <c r="H8">
        <f t="shared" si="2"/>
        <v>1.932367149758454</v>
      </c>
    </row>
    <row r="9" spans="1:8" ht="17">
      <c r="A9" s="3" t="s">
        <v>48</v>
      </c>
      <c r="B9" s="2">
        <v>368</v>
      </c>
      <c r="C9" s="1">
        <v>49</v>
      </c>
      <c r="D9">
        <f t="shared" si="0"/>
        <v>13.315217391304349</v>
      </c>
      <c r="E9" s="1">
        <v>77</v>
      </c>
      <c r="F9">
        <f t="shared" si="1"/>
        <v>20.923913043478262</v>
      </c>
      <c r="G9">
        <v>4</v>
      </c>
      <c r="H9">
        <f t="shared" si="2"/>
        <v>1.0869565217391304</v>
      </c>
    </row>
    <row r="12" spans="1:8">
      <c r="A12" t="s">
        <v>34</v>
      </c>
      <c r="B12" t="s">
        <v>37</v>
      </c>
      <c r="C12" t="s">
        <v>52</v>
      </c>
      <c r="D12" t="s">
        <v>39</v>
      </c>
    </row>
    <row r="13" spans="1:8" ht="17">
      <c r="A13" s="3" t="s">
        <v>13</v>
      </c>
      <c r="B13">
        <f>F2</f>
        <v>17.964450058648378</v>
      </c>
      <c r="C13">
        <f>D2</f>
        <v>9.0679418929892641</v>
      </c>
      <c r="D13">
        <f>H2</f>
        <v>2.824145087070288</v>
      </c>
    </row>
    <row r="14" spans="1:8" ht="17">
      <c r="A14" s="3" t="s">
        <v>44</v>
      </c>
      <c r="B14">
        <f>F3</f>
        <v>25.121786704639138</v>
      </c>
      <c r="C14">
        <f t="shared" ref="C14:C20" si="3">D3</f>
        <v>16.173274376077345</v>
      </c>
      <c r="D14">
        <f t="shared" ref="D14:D20" si="4">H3</f>
        <v>4.5492018286742111</v>
      </c>
    </row>
    <row r="15" spans="1:8" ht="17">
      <c r="A15" s="3" t="s">
        <v>45</v>
      </c>
      <c r="B15">
        <f>F4</f>
        <v>27.292679103307727</v>
      </c>
      <c r="C15">
        <f t="shared" si="3"/>
        <v>12.901708731776139</v>
      </c>
      <c r="D15">
        <f t="shared" si="4"/>
        <v>1.9282019125254741</v>
      </c>
    </row>
    <row r="16" spans="1:8" ht="17">
      <c r="A16" s="3" t="s">
        <v>15</v>
      </c>
      <c r="B16">
        <f>F5</f>
        <v>22.237017310252995</v>
      </c>
      <c r="C16">
        <f t="shared" si="3"/>
        <v>15.878828229027963</v>
      </c>
      <c r="D16">
        <f t="shared" si="4"/>
        <v>4.5272969374167777</v>
      </c>
    </row>
    <row r="17" spans="1:4" ht="17">
      <c r="A17" s="3" t="s">
        <v>14</v>
      </c>
      <c r="B17">
        <f>F6</f>
        <v>18.043844856661046</v>
      </c>
      <c r="C17">
        <f t="shared" si="3"/>
        <v>6.7875210792580107</v>
      </c>
      <c r="D17">
        <f t="shared" si="4"/>
        <v>1.0961214165261384</v>
      </c>
    </row>
    <row r="18" spans="1:4" ht="17">
      <c r="A18" s="3" t="s">
        <v>46</v>
      </c>
      <c r="B18">
        <f>F7</f>
        <v>19.774919614147908</v>
      </c>
      <c r="C18">
        <f t="shared" si="3"/>
        <v>12.218649517684888</v>
      </c>
      <c r="D18">
        <f t="shared" si="4"/>
        <v>0.96463022508038598</v>
      </c>
    </row>
    <row r="19" spans="1:4" ht="17">
      <c r="A19" s="3" t="s">
        <v>47</v>
      </c>
      <c r="B19">
        <f>F8</f>
        <v>28.180354267310786</v>
      </c>
      <c r="C19">
        <f t="shared" si="3"/>
        <v>5.9581320450885666</v>
      </c>
      <c r="D19">
        <f t="shared" si="4"/>
        <v>1.932367149758454</v>
      </c>
    </row>
    <row r="20" spans="1:4" ht="17">
      <c r="A20" s="3" t="s">
        <v>48</v>
      </c>
      <c r="B20">
        <f>F9</f>
        <v>20.923913043478262</v>
      </c>
      <c r="C20">
        <f t="shared" si="3"/>
        <v>13.315217391304349</v>
      </c>
      <c r="D20">
        <f t="shared" si="4"/>
        <v>1.0869565217391304</v>
      </c>
    </row>
    <row r="22" spans="1:4">
      <c r="B22" t="s">
        <v>28</v>
      </c>
      <c r="C22" t="s">
        <v>32</v>
      </c>
    </row>
    <row r="23" spans="1:4" ht="17">
      <c r="A23" s="3" t="s">
        <v>56</v>
      </c>
      <c r="B23" s="1">
        <v>39841</v>
      </c>
      <c r="C23" s="1">
        <v>3259</v>
      </c>
    </row>
    <row r="24" spans="1:4" ht="17">
      <c r="B24" s="3" t="s">
        <v>57</v>
      </c>
    </row>
    <row r="25" spans="1:4" ht="17">
      <c r="A25" t="s">
        <v>58</v>
      </c>
      <c r="B25" s="1">
        <v>3.5</v>
      </c>
      <c r="C25" s="1"/>
    </row>
    <row r="26" spans="1:4" ht="17">
      <c r="A26" t="s">
        <v>59</v>
      </c>
      <c r="B26" s="1">
        <v>8.3000000000000007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C9AC-BDE6-9447-AF63-B5FB99F3D6BD}">
  <dimension ref="A1:D4"/>
  <sheetViews>
    <sheetView workbookViewId="0">
      <selection activeCell="M26" sqref="M26"/>
    </sheetView>
  </sheetViews>
  <sheetFormatPr baseColWidth="10" defaultRowHeight="16"/>
  <sheetData>
    <row r="1" spans="1:4">
      <c r="A1" t="s">
        <v>36</v>
      </c>
      <c r="B1" t="s">
        <v>28</v>
      </c>
      <c r="C1" t="s">
        <v>32</v>
      </c>
      <c r="D1" t="s">
        <v>22</v>
      </c>
    </row>
    <row r="2" spans="1:4" ht="17">
      <c r="A2" t="s">
        <v>37</v>
      </c>
      <c r="B2" s="1">
        <v>18.399999999999999</v>
      </c>
      <c r="C2" s="1">
        <v>56.8</v>
      </c>
      <c r="D2" s="1">
        <v>21.3</v>
      </c>
    </row>
    <row r="3" spans="1:4" ht="17">
      <c r="A3" t="s">
        <v>39</v>
      </c>
      <c r="B3" s="1">
        <v>3.4</v>
      </c>
      <c r="C3">
        <v>3.2</v>
      </c>
      <c r="D3" s="1">
        <v>3.4</v>
      </c>
    </row>
    <row r="4" spans="1:4" ht="17">
      <c r="A4" s="3" t="s">
        <v>38</v>
      </c>
      <c r="B4" s="1">
        <v>9.9</v>
      </c>
      <c r="C4">
        <v>36.9</v>
      </c>
      <c r="D4" s="1">
        <v>11.9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Sheet7</vt:lpstr>
      <vt:lpstr>Sheet3</vt:lpstr>
      <vt:lpstr>Sheet8</vt:lpstr>
      <vt:lpstr>Sheet4</vt:lpstr>
      <vt:lpstr>Sheet9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OSAMA A. NABULSI</dc:creator>
  <cp:lastModifiedBy>HAMZA OSAMA A. NABULSI</cp:lastModifiedBy>
  <dcterms:created xsi:type="dcterms:W3CDTF">2024-09-28T22:20:21Z</dcterms:created>
  <dcterms:modified xsi:type="dcterms:W3CDTF">2024-09-30T14:48:33Z</dcterms:modified>
</cp:coreProperties>
</file>